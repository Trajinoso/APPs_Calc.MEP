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05 DEV\HD_Piscina\0 Recursos\"/>
    </mc:Choice>
  </mc:AlternateContent>
  <xr:revisionPtr revIDLastSave="0" documentId="13_ncr:1_{F78F5D03-E16A-4ABF-A76B-EA42AC612B6C}" xr6:coauthVersionLast="47" xr6:coauthVersionMax="47" xr10:uidLastSave="{00000000-0000-0000-0000-000000000000}"/>
  <bookViews>
    <workbookView xWindow="-28920" yWindow="315" windowWidth="29040" windowHeight="15720" tabRatio="737" xr2:uid="{EF613125-359E-4650-BE57-6F8A18B6D574}"/>
  </bookViews>
  <sheets>
    <sheet name="Piscina 1_PB" sheetId="6" r:id="rId1"/>
    <sheet name="Filtrado" sheetId="2" r:id="rId2"/>
    <sheet name="Cloracion" sheetId="3" r:id="rId3"/>
    <sheet name="Ventilación" sheetId="4" r:id="rId4"/>
    <sheet name="DN PVC PN 10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6" l="1"/>
  <c r="E33" i="6"/>
  <c r="F45" i="6"/>
  <c r="F36" i="6"/>
  <c r="F42" i="6"/>
  <c r="F40" i="6"/>
  <c r="C28" i="6"/>
  <c r="C8" i="6"/>
  <c r="D39" i="6" l="1"/>
  <c r="D35" i="6"/>
  <c r="C11" i="6"/>
  <c r="C12" i="6" s="1"/>
  <c r="C9" i="4"/>
  <c r="C11" i="4" s="1"/>
  <c r="C7" i="4"/>
  <c r="C13" i="6" l="1"/>
  <c r="C5" i="2" s="1"/>
  <c r="D11" i="3" l="1"/>
  <c r="D15" i="3" s="1"/>
  <c r="C17" i="6"/>
  <c r="C35" i="6" s="1"/>
  <c r="C39" i="6" s="1"/>
  <c r="C7" i="2"/>
  <c r="C10" i="2" s="1"/>
  <c r="C11" i="2" s="1"/>
  <c r="C43" i="6" l="1"/>
  <c r="C32" i="6"/>
  <c r="C30" i="6"/>
  <c r="C19" i="6"/>
  <c r="C38" i="6" s="1"/>
  <c r="C21" i="6"/>
  <c r="C23" i="6" s="1"/>
  <c r="C25" i="6" s="1"/>
  <c r="C41" i="6" l="1"/>
  <c r="C37" i="6"/>
  <c r="C44" i="6"/>
</calcChain>
</file>

<file path=xl/sharedStrings.xml><?xml version="1.0" encoding="utf-8"?>
<sst xmlns="http://schemas.openxmlformats.org/spreadsheetml/2006/main" count="228" uniqueCount="177">
  <si>
    <t>Lado A</t>
  </si>
  <si>
    <t>Lado B</t>
  </si>
  <si>
    <t>Altura mínima h</t>
  </si>
  <si>
    <t>Altura máxima H</t>
  </si>
  <si>
    <t>m</t>
  </si>
  <si>
    <t>m³</t>
  </si>
  <si>
    <t>Tiempo Renovación</t>
  </si>
  <si>
    <t>h</t>
  </si>
  <si>
    <t>Caudal a mover</t>
  </si>
  <si>
    <t>m³/h</t>
  </si>
  <si>
    <t>Velocidad Filtrado</t>
  </si>
  <si>
    <t>m³/h/m²</t>
  </si>
  <si>
    <t>m²</t>
  </si>
  <si>
    <t>Nº Filtros</t>
  </si>
  <si>
    <t>ud</t>
  </si>
  <si>
    <t>Serie comercial Diametro</t>
  </si>
  <si>
    <t>mm</t>
  </si>
  <si>
    <t>Caudal para filtro comercial</t>
  </si>
  <si>
    <t>Superfice filtrado necesario</t>
  </si>
  <si>
    <t>Superficie por Filtros</t>
  </si>
  <si>
    <t>Diametro Filtro mínimo</t>
  </si>
  <si>
    <t>Numero bombas</t>
  </si>
  <si>
    <t xml:space="preserve">Velocidad de lavado más conveniente para filtros de arena entre 40 y 50 m/h </t>
  </si>
  <si>
    <t>Diametro mínimo de filtro unitario para seleccionar filtro comercial</t>
  </si>
  <si>
    <t>Tramo de la Instalación</t>
  </si>
  <si>
    <t>Velocidad Recomendada (m/s)</t>
  </si>
  <si>
    <t>Criterio Principal de Diseño</t>
  </si>
  <si>
    <t>Aspiración (Skimmers, Sumidero)</t>
  </si>
  <si>
    <t>0.8 – 1.5 m/s</t>
  </si>
  <si>
    <t>Evitar cavitación, seguridad, eficiencia.</t>
  </si>
  <si>
    <t>Impulsión (Retorno a la piscina)</t>
  </si>
  <si>
    <t>1.5 – 2.2 m/s</t>
  </si>
  <si>
    <t>Equilibrio coste-eficiencia, evitar ruido.</t>
  </si>
  <si>
    <t>Lavado (Desagüe del filtro)</t>
  </si>
  <si>
    <t>2.0 – 3.0 m/s</t>
  </si>
  <si>
    <t>Capacidad de arrastre de sólidos.</t>
  </si>
  <si>
    <t>Volumen piscina + depósito compensación</t>
  </si>
  <si>
    <t>Tiempo de recirculación</t>
  </si>
  <si>
    <t>Nº de filtros</t>
  </si>
  <si>
    <t>Sección mínima de filtración</t>
  </si>
  <si>
    <t>Diámetro de filtro seleccionado</t>
  </si>
  <si>
    <t>Velocidad de filtración</t>
  </si>
  <si>
    <t>Diámetro mínimo filtración por filtro</t>
  </si>
  <si>
    <t>cm</t>
  </si>
  <si>
    <t>Situación:</t>
  </si>
  <si>
    <t>Diametro:</t>
  </si>
  <si>
    <t>Nº de filtros:</t>
  </si>
  <si>
    <t>Altura de Filtro:</t>
  </si>
  <si>
    <t>Conexión de salida:</t>
  </si>
  <si>
    <t>Velocidad de filtración:</t>
  </si>
  <si>
    <t>Sección de filtración</t>
  </si>
  <si>
    <t>Vertical</t>
  </si>
  <si>
    <t>1200 mm</t>
  </si>
  <si>
    <t>40 m³/h/m²</t>
  </si>
  <si>
    <t>A</t>
  </si>
  <si>
    <t>Volumen total de la instalación</t>
  </si>
  <si>
    <t>Factor de consumo de  desinfectante</t>
  </si>
  <si>
    <t>B</t>
  </si>
  <si>
    <t>C</t>
  </si>
  <si>
    <t>Número bañistas</t>
  </si>
  <si>
    <t>D</t>
  </si>
  <si>
    <t>Horas de filtración</t>
  </si>
  <si>
    <t>E</t>
  </si>
  <si>
    <t xml:space="preserve">Gramos de desinfectantes </t>
  </si>
  <si>
    <t>gr/m³</t>
  </si>
  <si>
    <t>gr/h</t>
  </si>
  <si>
    <t>Superfice</t>
  </si>
  <si>
    <t>Altura</t>
  </si>
  <si>
    <t>Volumen</t>
  </si>
  <si>
    <t>Renovaciones hora</t>
  </si>
  <si>
    <t>Caudal de ventilación</t>
  </si>
  <si>
    <t>Velocidad del aire</t>
  </si>
  <si>
    <t>Sección mínima de ventilación</t>
  </si>
  <si>
    <t>m³/s</t>
  </si>
  <si>
    <t>m/s</t>
  </si>
  <si>
    <t>Volumen vaso piscina</t>
  </si>
  <si>
    <t>Volumen vaso compensación</t>
  </si>
  <si>
    <t>Volumen de agua total</t>
  </si>
  <si>
    <t>Sumidero Fondo</t>
  </si>
  <si>
    <t>Seleccionar el sumidero según caudal máximo de éste. Se pondrán 2 sumideros</t>
  </si>
  <si>
    <t>Caudal Aspiración</t>
  </si>
  <si>
    <t>Velocidad Aspiración</t>
  </si>
  <si>
    <t>Diametro aspiración con dos tubos</t>
  </si>
  <si>
    <t>Caudal Impulsión</t>
  </si>
  <si>
    <t>Velocidad Impulsción</t>
  </si>
  <si>
    <t>Diametro tubería Impulsión</t>
  </si>
  <si>
    <t>Calculo caudales y equipo hidráulico Piscina</t>
  </si>
  <si>
    <t>Caudal Sumidero elegido</t>
  </si>
  <si>
    <t>Piscina exterior polivalente planta baja</t>
  </si>
  <si>
    <t>VENTILACIÓN CUARTOS DE DEPURACIÓN Y ALMACENAJE</t>
  </si>
  <si>
    <t>DOSIFICACION DE CLORACION SALINA</t>
  </si>
  <si>
    <t>CALCULO EQUIPOS DE FILTRADO</t>
  </si>
  <si>
    <t>PISCINA EXTERIOR POLIVALENTE PLANTA BAJA</t>
  </si>
  <si>
    <t>Superficie</t>
  </si>
  <si>
    <t>Recogida</t>
  </si>
  <si>
    <t>Considerando el vaso de compensación</t>
  </si>
  <si>
    <t>Piscina 1 PB</t>
  </si>
  <si>
    <t>Parámetro</t>
  </si>
  <si>
    <t>Espacio disponible</t>
  </si>
  <si>
    <t>Dato</t>
  </si>
  <si>
    <t>Uso piscina</t>
  </si>
  <si>
    <t>Residencial Polivalente</t>
  </si>
  <si>
    <t>Volumen de agua</t>
  </si>
  <si>
    <t>243,47 m³</t>
  </si>
  <si>
    <t>Caudal requerido</t>
  </si>
  <si>
    <t>Velocidad filtración</t>
  </si>
  <si>
    <t>40 m/h</t>
  </si>
  <si>
    <t xml:space="preserve">Tipo Válvula </t>
  </si>
  <si>
    <t>Lateral Batería Válvulas</t>
  </si>
  <si>
    <t>Diamétro Tubería</t>
  </si>
  <si>
    <t>Ancho puerta 100 cm</t>
  </si>
  <si>
    <t>Vidrio filtrante</t>
  </si>
  <si>
    <t>Material filtrado</t>
  </si>
  <si>
    <t>Material filtro</t>
  </si>
  <si>
    <t>Fibra de vidrio</t>
  </si>
  <si>
    <t>Velocidad Max. Filtración</t>
  </si>
  <si>
    <t>50 m³/h/m²</t>
  </si>
  <si>
    <t>Presión máxima trabajo</t>
  </si>
  <si>
    <t>25 kg/cm²</t>
  </si>
  <si>
    <t>SELECCIÓN FILTRO</t>
  </si>
  <si>
    <t>Diametro Batería</t>
  </si>
  <si>
    <t>DN 110</t>
  </si>
  <si>
    <t>DN 125</t>
  </si>
  <si>
    <t>DIÁMETROS NORMALIZADOS (NOMINAL E INTERIOR) PARA TUBERIAS DE PVC</t>
  </si>
  <si>
    <t>DN (mm)</t>
  </si>
  <si>
    <t>DI (mm)</t>
  </si>
  <si>
    <t>4 atm</t>
  </si>
  <si>
    <t>6 atm</t>
  </si>
  <si>
    <t>10 atm</t>
  </si>
  <si>
    <t>16 atm</t>
  </si>
  <si>
    <t>–</t>
  </si>
  <si>
    <t>DN 160</t>
  </si>
  <si>
    <t>DN 90</t>
  </si>
  <si>
    <t>90 mm / DN80</t>
  </si>
  <si>
    <t>1050 mm</t>
  </si>
  <si>
    <t>Modelo 04612</t>
  </si>
  <si>
    <t>0,86 m²</t>
  </si>
  <si>
    <t>Batería Válvulas DN 90 a parte</t>
  </si>
  <si>
    <t>SELECCIÓN BOMBA</t>
  </si>
  <si>
    <t>Conexión</t>
  </si>
  <si>
    <t>Altura Máx.</t>
  </si>
  <si>
    <t>Presión trabajo</t>
  </si>
  <si>
    <t>mca</t>
  </si>
  <si>
    <t>Caudal Paralelo</t>
  </si>
  <si>
    <t>Presión Paralelo</t>
  </si>
  <si>
    <t>DN90</t>
  </si>
  <si>
    <t>No seria variable</t>
  </si>
  <si>
    <t>AstraPool Maxim 3,5 CV</t>
  </si>
  <si>
    <t>Modelo 08003</t>
  </si>
  <si>
    <t>Caudal max por bomba</t>
  </si>
  <si>
    <t>Nº Bombas funcionando</t>
  </si>
  <si>
    <t>AstraPool OSLO 1050</t>
  </si>
  <si>
    <t>Se calcula para un 30% del caudal de la piscina. El sumidero tiene que tener una velocidad inferior a 0,5 m/s</t>
  </si>
  <si>
    <t>0,5 m/s de 2"</t>
  </si>
  <si>
    <t>Boquillas impulsión mínima</t>
  </si>
  <si>
    <t>Boquillas impulsión Seleccionadas</t>
  </si>
  <si>
    <t>Recomendable para piscinas exteriores costa del sol</t>
  </si>
  <si>
    <t>Tiempo renovación de todo el caudal según norma</t>
  </si>
  <si>
    <t>Caudal a mover para cumplir con el tiempo de renovación según norma</t>
  </si>
  <si>
    <t>Velocidad máxima recomendada para impulsión / Velocidad con sección comercial</t>
  </si>
  <si>
    <t>Velocidad de paso por las válvulas recomendada / Velocidad con sección comercial</t>
  </si>
  <si>
    <t>Caudal más desfavorable a mover</t>
  </si>
  <si>
    <t>Velocidad recomendada para aspiración / Velocidad con sección comercial</t>
  </si>
  <si>
    <t>Diámetro mínimo por velocidad / Diametro comercial seleccionado</t>
  </si>
  <si>
    <t xml:space="preserve">Caudal de filtración </t>
  </si>
  <si>
    <t>69 m³/h</t>
  </si>
  <si>
    <t>DN 225</t>
  </si>
  <si>
    <t>Caudal mínimo por bomba</t>
  </si>
  <si>
    <t>Caudal mínimo necesario por Bomba en caso de poner en paralelo será algo diferente</t>
  </si>
  <si>
    <t>Superficie total de filtrado necesaria para todo el caudal a renovar</t>
  </si>
  <si>
    <t>Selección Número de filtros a colocar</t>
  </si>
  <si>
    <t>Selección Número bombas a instalar (1+1)</t>
  </si>
  <si>
    <t>Área mínima de filtrado por filtro individual a colocar</t>
  </si>
  <si>
    <t xml:space="preserve">Selección Diametro de un solo Filtro comercial. </t>
  </si>
  <si>
    <t>Caudal que se mueve en los filtros comerciales a la vez, a la velocidad de 40 m/h. Tiene que ser menor que el del filtro seleccionado. Será el caudal a mover para mantener la velocidad recomendada.</t>
  </si>
  <si>
    <t>Seleccionar unas con un caudal para sacar el número mínimo (10 m³/h)</t>
  </si>
  <si>
    <t>Diametro tubería aspiración bomba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</si>
</sst>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4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0"/>
      <color theme="0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676767"/>
      <name val="Arial"/>
      <family val="2"/>
    </font>
    <font>
      <sz val="10"/>
      <color rgb="FF676767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70C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A3B4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</borders>
  <cellStyleXfs count="3">
    <xf numFmtId="0" fontId="0" fillId="0" borderId="0"/>
    <xf numFmtId="49" fontId="12" fillId="6" borderId="18">
      <alignment horizontal="left" vertical="top"/>
    </xf>
    <xf numFmtId="49" fontId="13" fillId="0" borderId="25">
      <alignment horizontal="left" vertical="top"/>
    </xf>
  </cellStyleXfs>
  <cellXfs count="87">
    <xf numFmtId="0" fontId="0" fillId="0" borderId="0" xfId="0"/>
    <xf numFmtId="2" fontId="0" fillId="0" borderId="0" xfId="0" applyNumberFormat="1"/>
    <xf numFmtId="0" fontId="0" fillId="0" borderId="5" xfId="0" applyBorder="1"/>
    <xf numFmtId="0" fontId="0" fillId="0" borderId="8" xfId="0" applyBorder="1"/>
    <xf numFmtId="0" fontId="2" fillId="0" borderId="4" xfId="0" applyFont="1" applyBorder="1"/>
    <xf numFmtId="0" fontId="2" fillId="0" borderId="0" xfId="0" applyFont="1"/>
    <xf numFmtId="0" fontId="2" fillId="0" borderId="6" xfId="0" applyFont="1" applyBorder="1"/>
    <xf numFmtId="0" fontId="2" fillId="2" borderId="0" xfId="0" applyFont="1" applyFill="1"/>
    <xf numFmtId="0" fontId="3" fillId="3" borderId="3" xfId="0" applyFont="1" applyFill="1" applyBorder="1"/>
    <xf numFmtId="0" fontId="2" fillId="4" borderId="0" xfId="0" applyFont="1" applyFill="1"/>
    <xf numFmtId="2" fontId="2" fillId="4" borderId="0" xfId="0" applyNumberFormat="1" applyFont="1" applyFill="1"/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7" xfId="0" applyBorder="1"/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/>
    <xf numFmtId="164" fontId="0" fillId="0" borderId="0" xfId="0" applyNumberFormat="1"/>
    <xf numFmtId="0" fontId="0" fillId="2" borderId="18" xfId="0" applyFill="1" applyBorder="1"/>
    <xf numFmtId="0" fontId="0" fillId="2" borderId="0" xfId="0" applyFill="1"/>
    <xf numFmtId="2" fontId="2" fillId="4" borderId="7" xfId="0" applyNumberFormat="1" applyFont="1" applyFill="1" applyBorder="1"/>
    <xf numFmtId="2" fontId="7" fillId="4" borderId="0" xfId="0" applyNumberFormat="1" applyFont="1" applyFill="1"/>
    <xf numFmtId="0" fontId="0" fillId="0" borderId="1" xfId="0" applyBorder="1"/>
    <xf numFmtId="2" fontId="2" fillId="4" borderId="2" xfId="0" applyNumberFormat="1" applyFont="1" applyFill="1" applyBorder="1"/>
    <xf numFmtId="0" fontId="0" fillId="0" borderId="3" xfId="0" applyBorder="1"/>
    <xf numFmtId="0" fontId="0" fillId="0" borderId="4" xfId="0" applyBorder="1"/>
    <xf numFmtId="0" fontId="8" fillId="0" borderId="0" xfId="0" applyFont="1" applyAlignment="1">
      <alignment horizontal="left"/>
    </xf>
    <xf numFmtId="0" fontId="8" fillId="0" borderId="0" xfId="0" applyFont="1"/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0" fillId="0" borderId="0" xfId="0" applyFont="1"/>
    <xf numFmtId="0" fontId="9" fillId="4" borderId="21" xfId="0" applyFont="1" applyFill="1" applyBorder="1"/>
    <xf numFmtId="0" fontId="0" fillId="4" borderId="22" xfId="0" applyFill="1" applyBorder="1"/>
    <xf numFmtId="0" fontId="0" fillId="4" borderId="23" xfId="0" applyFill="1" applyBorder="1"/>
    <xf numFmtId="0" fontId="1" fillId="3" borderId="24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24" xfId="0" applyFont="1" applyBorder="1"/>
    <xf numFmtId="0" fontId="0" fillId="4" borderId="0" xfId="0" applyFill="1"/>
    <xf numFmtId="0" fontId="3" fillId="3" borderId="0" xfId="0" applyFont="1" applyFill="1"/>
    <xf numFmtId="0" fontId="5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7" fillId="0" borderId="0" xfId="0" applyFont="1"/>
    <xf numFmtId="0" fontId="14" fillId="7" borderId="24" xfId="0" applyFont="1" applyFill="1" applyBorder="1" applyAlignment="1">
      <alignment horizontal="left" vertical="top" wrapText="1" indent="1"/>
    </xf>
    <xf numFmtId="0" fontId="14" fillId="7" borderId="24" xfId="0" applyFont="1" applyFill="1" applyBorder="1" applyAlignment="1">
      <alignment vertical="top" wrapText="1" indent="1"/>
    </xf>
    <xf numFmtId="0" fontId="15" fillId="7" borderId="24" xfId="0" applyFont="1" applyFill="1" applyBorder="1" applyAlignment="1">
      <alignment vertical="top" wrapText="1" indent="1"/>
    </xf>
    <xf numFmtId="0" fontId="16" fillId="7" borderId="24" xfId="0" applyFont="1" applyFill="1" applyBorder="1" applyAlignment="1">
      <alignment vertical="top" wrapText="1" indent="1"/>
    </xf>
    <xf numFmtId="0" fontId="17" fillId="7" borderId="24" xfId="0" applyFont="1" applyFill="1" applyBorder="1" applyAlignment="1">
      <alignment vertical="top" wrapText="1" indent="1"/>
    </xf>
    <xf numFmtId="0" fontId="11" fillId="0" borderId="24" xfId="0" applyFont="1" applyBorder="1"/>
    <xf numFmtId="0" fontId="2" fillId="5" borderId="0" xfId="0" applyFont="1" applyFill="1" applyAlignment="1">
      <alignment horizontal="center" vertical="center"/>
    </xf>
    <xf numFmtId="0" fontId="18" fillId="0" borderId="0" xfId="0" applyFont="1"/>
    <xf numFmtId="0" fontId="8" fillId="0" borderId="0" xfId="0" applyFont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0" fillId="8" borderId="24" xfId="0" applyFill="1" applyBorder="1"/>
    <xf numFmtId="0" fontId="2" fillId="0" borderId="1" xfId="0" applyFont="1" applyBorder="1"/>
    <xf numFmtId="0" fontId="0" fillId="0" borderId="0" xfId="0" applyAlignment="1">
      <alignment wrapText="1"/>
    </xf>
    <xf numFmtId="2" fontId="2" fillId="5" borderId="7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2" fontId="2" fillId="5" borderId="2" xfId="0" applyNumberFormat="1" applyFont="1" applyFill="1" applyBorder="1"/>
    <xf numFmtId="2" fontId="2" fillId="5" borderId="0" xfId="0" applyNumberFormat="1" applyFont="1" applyFill="1"/>
    <xf numFmtId="1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left"/>
    </xf>
    <xf numFmtId="0" fontId="7" fillId="9" borderId="0" xfId="0" applyFont="1" applyFill="1"/>
    <xf numFmtId="0" fontId="8" fillId="9" borderId="0" xfId="0" applyFont="1" applyFill="1" applyAlignment="1">
      <alignment horizontal="left"/>
    </xf>
    <xf numFmtId="0" fontId="0" fillId="9" borderId="0" xfId="0" applyFill="1"/>
    <xf numFmtId="0" fontId="0" fillId="9" borderId="7" xfId="0" applyFill="1" applyBorder="1"/>
    <xf numFmtId="0" fontId="2" fillId="0" borderId="6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4" fillId="7" borderId="24" xfId="0" applyFont="1" applyFill="1" applyBorder="1" applyAlignment="1">
      <alignment horizontal="center" vertical="top" wrapText="1"/>
    </xf>
  </cellXfs>
  <cellStyles count="3">
    <cellStyle name="Normal" xfId="0" builtinId="0"/>
    <cellStyle name="P.01.01" xfId="2" xr:uid="{735E0145-0F03-41B1-9CE9-9BE1BD7B2417}"/>
    <cellStyle name="T.01" xfId="1" xr:uid="{FA2F5039-35C7-4669-8F1C-E1308CC153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3174</xdr:colOff>
      <xdr:row>57</xdr:row>
      <xdr:rowOff>0</xdr:rowOff>
    </xdr:from>
    <xdr:to>
      <xdr:col>9</xdr:col>
      <xdr:colOff>476250</xdr:colOff>
      <xdr:row>96</xdr:row>
      <xdr:rowOff>27907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0675DF-6D05-B77F-71E5-9A7FD79A7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349" y="11325225"/>
          <a:ext cx="13712826" cy="70827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758825</xdr:colOff>
      <xdr:row>5</xdr:row>
      <xdr:rowOff>63501</xdr:rowOff>
    </xdr:from>
    <xdr:to>
      <xdr:col>4</xdr:col>
      <xdr:colOff>758825</xdr:colOff>
      <xdr:row>8</xdr:row>
      <xdr:rowOff>69163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F02C65-3D58-A376-59E5-2C0BB8CC3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0825" y="244476"/>
          <a:ext cx="4057650" cy="5454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41274</xdr:rowOff>
    </xdr:from>
    <xdr:to>
      <xdr:col>14</xdr:col>
      <xdr:colOff>596900</xdr:colOff>
      <xdr:row>39</xdr:row>
      <xdr:rowOff>41132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03176E-EE42-3A76-F490-AAF4A9371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584199"/>
          <a:ext cx="6692900" cy="6514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F6EE-D20D-40FE-A99A-EC9428287C0A}">
  <dimension ref="B2:K52"/>
  <sheetViews>
    <sheetView tabSelected="1" workbookViewId="0">
      <selection activeCell="K34" sqref="K34"/>
    </sheetView>
  </sheetViews>
  <sheetFormatPr baseColWidth="10" defaultRowHeight="14.5" x14ac:dyDescent="0.35"/>
  <cols>
    <col min="1" max="1" width="6" customWidth="1"/>
    <col min="2" max="2" width="32.36328125" customWidth="1"/>
    <col min="5" max="5" width="10.90625" customWidth="1"/>
    <col min="6" max="6" width="8.453125" customWidth="1"/>
    <col min="7" max="7" width="94.1796875" customWidth="1"/>
    <col min="10" max="10" width="17.90625" customWidth="1"/>
  </cols>
  <sheetData>
    <row r="2" spans="2:11" ht="15" thickBot="1" x14ac:dyDescent="0.4"/>
    <row r="3" spans="2:11" ht="19" thickBot="1" x14ac:dyDescent="0.5">
      <c r="B3" s="43" t="s">
        <v>92</v>
      </c>
      <c r="C3" s="44"/>
      <c r="D3" s="45"/>
      <c r="E3" s="49"/>
      <c r="F3" s="49"/>
    </row>
    <row r="4" spans="2:11" ht="15" thickBot="1" x14ac:dyDescent="0.4"/>
    <row r="5" spans="2:11" ht="29" customHeight="1" x14ac:dyDescent="0.35">
      <c r="B5" s="80" t="s">
        <v>86</v>
      </c>
      <c r="C5" s="81"/>
      <c r="D5" s="8"/>
      <c r="E5" s="50"/>
      <c r="F5" s="50"/>
      <c r="J5" s="82"/>
      <c r="K5" s="82"/>
    </row>
    <row r="6" spans="2:11" x14ac:dyDescent="0.35">
      <c r="B6" s="4" t="s">
        <v>0</v>
      </c>
      <c r="C6" s="7">
        <v>158.1</v>
      </c>
      <c r="D6" s="2" t="s">
        <v>4</v>
      </c>
    </row>
    <row r="7" spans="2:11" x14ac:dyDescent="0.35">
      <c r="B7" s="4" t="s">
        <v>1</v>
      </c>
      <c r="C7" s="7">
        <v>1</v>
      </c>
      <c r="D7" s="2" t="s">
        <v>4</v>
      </c>
    </row>
    <row r="8" spans="2:11" x14ac:dyDescent="0.35">
      <c r="B8" s="4" t="s">
        <v>93</v>
      </c>
      <c r="C8" s="7">
        <f>+C7*C6</f>
        <v>158.1</v>
      </c>
      <c r="D8" s="2"/>
    </row>
    <row r="9" spans="2:11" x14ac:dyDescent="0.35">
      <c r="B9" s="4" t="s">
        <v>2</v>
      </c>
      <c r="C9" s="7">
        <v>1.4</v>
      </c>
      <c r="D9" s="2" t="s">
        <v>4</v>
      </c>
    </row>
    <row r="10" spans="2:11" x14ac:dyDescent="0.35">
      <c r="B10" s="4" t="s">
        <v>3</v>
      </c>
      <c r="C10" s="7">
        <v>1.4</v>
      </c>
      <c r="D10" s="2" t="s">
        <v>4</v>
      </c>
    </row>
    <row r="11" spans="2:11" x14ac:dyDescent="0.35">
      <c r="B11" s="4" t="s">
        <v>75</v>
      </c>
      <c r="C11" s="9">
        <f>+C6*C7*C9+C6*C7*(C10-C9)</f>
        <v>221.33999999999997</v>
      </c>
      <c r="D11" s="2" t="s">
        <v>5</v>
      </c>
    </row>
    <row r="12" spans="2:11" x14ac:dyDescent="0.35">
      <c r="B12" s="4" t="s">
        <v>76</v>
      </c>
      <c r="C12" s="9">
        <f>+C11*0.1</f>
        <v>22.134</v>
      </c>
      <c r="D12" s="2" t="s">
        <v>5</v>
      </c>
    </row>
    <row r="13" spans="2:11" x14ac:dyDescent="0.35">
      <c r="B13" s="4" t="s">
        <v>77</v>
      </c>
      <c r="C13" s="9">
        <f>+C11+C12</f>
        <v>243.47399999999999</v>
      </c>
      <c r="D13" s="2" t="s">
        <v>5</v>
      </c>
      <c r="G13" t="s">
        <v>95</v>
      </c>
    </row>
    <row r="14" spans="2:11" x14ac:dyDescent="0.35">
      <c r="B14" s="4"/>
      <c r="C14" s="5"/>
      <c r="D14" s="2"/>
    </row>
    <row r="15" spans="2:11" x14ac:dyDescent="0.35">
      <c r="B15" s="4" t="s">
        <v>6</v>
      </c>
      <c r="C15" s="7">
        <v>4</v>
      </c>
      <c r="D15" s="2" t="s">
        <v>7</v>
      </c>
      <c r="G15" t="s">
        <v>157</v>
      </c>
    </row>
    <row r="16" spans="2:11" x14ac:dyDescent="0.35">
      <c r="B16" s="4"/>
      <c r="C16" s="5"/>
      <c r="D16" s="2"/>
    </row>
    <row r="17" spans="2:11" x14ac:dyDescent="0.35">
      <c r="B17" s="4" t="s">
        <v>8</v>
      </c>
      <c r="C17" s="10">
        <f>+C13/C15</f>
        <v>60.868499999999997</v>
      </c>
      <c r="D17" s="2" t="s">
        <v>9</v>
      </c>
      <c r="G17" t="s">
        <v>158</v>
      </c>
    </row>
    <row r="18" spans="2:11" x14ac:dyDescent="0.35">
      <c r="B18" s="4" t="s">
        <v>21</v>
      </c>
      <c r="C18" s="7">
        <v>2</v>
      </c>
      <c r="D18" s="2" t="s">
        <v>14</v>
      </c>
      <c r="G18" t="s">
        <v>171</v>
      </c>
    </row>
    <row r="19" spans="2:11" x14ac:dyDescent="0.35">
      <c r="B19" s="4" t="s">
        <v>167</v>
      </c>
      <c r="C19" s="9">
        <f>+C17/C18</f>
        <v>30.434249999999999</v>
      </c>
      <c r="D19" s="2" t="s">
        <v>9</v>
      </c>
      <c r="G19" t="s">
        <v>168</v>
      </c>
    </row>
    <row r="20" spans="2:11" x14ac:dyDescent="0.35">
      <c r="B20" s="4" t="s">
        <v>10</v>
      </c>
      <c r="C20" s="7">
        <v>40</v>
      </c>
      <c r="D20" s="2" t="s">
        <v>11</v>
      </c>
      <c r="G20" t="s">
        <v>22</v>
      </c>
    </row>
    <row r="21" spans="2:11" x14ac:dyDescent="0.35">
      <c r="B21" s="4" t="s">
        <v>18</v>
      </c>
      <c r="C21" s="10">
        <f>+C17/C20</f>
        <v>1.5217125</v>
      </c>
      <c r="D21" s="2" t="s">
        <v>12</v>
      </c>
      <c r="G21" t="s">
        <v>169</v>
      </c>
      <c r="K21" s="1"/>
    </row>
    <row r="22" spans="2:11" x14ac:dyDescent="0.35">
      <c r="B22" s="4" t="s">
        <v>13</v>
      </c>
      <c r="C22" s="7">
        <v>2</v>
      </c>
      <c r="D22" s="2" t="s">
        <v>14</v>
      </c>
      <c r="G22" t="s">
        <v>170</v>
      </c>
    </row>
    <row r="23" spans="2:11" x14ac:dyDescent="0.35">
      <c r="B23" s="4" t="s">
        <v>19</v>
      </c>
      <c r="C23" s="10">
        <f>+C21/C22</f>
        <v>0.76085625000000001</v>
      </c>
      <c r="D23" s="2" t="s">
        <v>12</v>
      </c>
      <c r="G23" t="s">
        <v>172</v>
      </c>
      <c r="K23" s="1"/>
    </row>
    <row r="24" spans="2:11" x14ac:dyDescent="0.35">
      <c r="B24" s="4"/>
      <c r="C24" s="5"/>
      <c r="D24" s="2"/>
    </row>
    <row r="25" spans="2:11" x14ac:dyDescent="0.35">
      <c r="B25" s="4" t="s">
        <v>20</v>
      </c>
      <c r="C25" s="33">
        <f>+SQRT(C23*4/3.1415)</f>
        <v>0.98426664942976261</v>
      </c>
      <c r="D25" s="2" t="s">
        <v>4</v>
      </c>
      <c r="G25" t="s">
        <v>23</v>
      </c>
      <c r="K25" s="1"/>
    </row>
    <row r="26" spans="2:11" x14ac:dyDescent="0.35">
      <c r="B26" s="4"/>
      <c r="C26" s="5"/>
      <c r="D26" s="2"/>
    </row>
    <row r="27" spans="2:11" x14ac:dyDescent="0.35">
      <c r="B27" s="4" t="s">
        <v>15</v>
      </c>
      <c r="C27" s="7">
        <v>1050</v>
      </c>
      <c r="D27" s="2" t="s">
        <v>16</v>
      </c>
      <c r="G27" t="s">
        <v>173</v>
      </c>
    </row>
    <row r="28" spans="2:11" ht="29.5" thickBot="1" x14ac:dyDescent="0.4">
      <c r="B28" s="79" t="s">
        <v>17</v>
      </c>
      <c r="C28" s="68">
        <f>(3.1415*((C27/1000)/2)^2)*C20*C22</f>
        <v>69.270075000000006</v>
      </c>
      <c r="D28" s="69" t="s">
        <v>11</v>
      </c>
      <c r="G28" s="67" t="s">
        <v>174</v>
      </c>
    </row>
    <row r="29" spans="2:11" ht="15" thickBot="1" x14ac:dyDescent="0.4"/>
    <row r="30" spans="2:11" x14ac:dyDescent="0.35">
      <c r="B30" s="66" t="s">
        <v>78</v>
      </c>
      <c r="C30" s="35">
        <f>+C17*0.3</f>
        <v>18.260549999999999</v>
      </c>
      <c r="D30" s="36" t="s">
        <v>9</v>
      </c>
      <c r="G30" t="s">
        <v>152</v>
      </c>
    </row>
    <row r="31" spans="2:11" x14ac:dyDescent="0.35">
      <c r="B31" s="4" t="s">
        <v>87</v>
      </c>
      <c r="C31" s="77">
        <v>13</v>
      </c>
      <c r="D31" s="2" t="s">
        <v>9</v>
      </c>
      <c r="E31">
        <v>26</v>
      </c>
      <c r="F31" t="s">
        <v>153</v>
      </c>
      <c r="G31" t="s">
        <v>79</v>
      </c>
    </row>
    <row r="32" spans="2:11" x14ac:dyDescent="0.35">
      <c r="B32" s="4" t="s">
        <v>154</v>
      </c>
      <c r="C32" s="10">
        <f>ROUNDUP(+C17/10,0)</f>
        <v>7</v>
      </c>
      <c r="D32" s="2" t="s">
        <v>14</v>
      </c>
      <c r="G32" t="s">
        <v>175</v>
      </c>
    </row>
    <row r="33" spans="2:11" ht="15" thickBot="1" x14ac:dyDescent="0.4">
      <c r="B33" s="6" t="s">
        <v>155</v>
      </c>
      <c r="C33" s="78">
        <v>10</v>
      </c>
      <c r="D33" s="3" t="s">
        <v>14</v>
      </c>
      <c r="E33" s="1">
        <f>+C17/C33</f>
        <v>6.0868500000000001</v>
      </c>
      <c r="F33">
        <f>+E33*1000/3600</f>
        <v>1.6907916666666667</v>
      </c>
    </row>
    <row r="34" spans="2:11" ht="15" thickBot="1" x14ac:dyDescent="0.4"/>
    <row r="35" spans="2:11" x14ac:dyDescent="0.35">
      <c r="B35" s="34" t="s">
        <v>80</v>
      </c>
      <c r="C35" s="70">
        <f>+MAX(C17,C28)</f>
        <v>69.270075000000006</v>
      </c>
      <c r="D35" s="36" t="str">
        <f>+D17</f>
        <v>m³/h</v>
      </c>
      <c r="G35" s="62" t="s">
        <v>161</v>
      </c>
    </row>
    <row r="36" spans="2:11" x14ac:dyDescent="0.35">
      <c r="B36" s="37" t="s">
        <v>81</v>
      </c>
      <c r="C36" s="7">
        <v>1.2</v>
      </c>
      <c r="D36" s="2" t="s">
        <v>74</v>
      </c>
      <c r="E36" s="54"/>
      <c r="F36" s="72" t="str">
        <f>+TEXT( (C35/3600) / (PI() * (F37/1000)^2 / 4), "0,00") &amp; " m/s"</f>
        <v>1,18 m/s</v>
      </c>
      <c r="G36" t="s">
        <v>162</v>
      </c>
    </row>
    <row r="37" spans="2:11" x14ac:dyDescent="0.35">
      <c r="B37" s="4" t="s">
        <v>176</v>
      </c>
      <c r="C37" s="10">
        <f>+SQRT((C35/(C36*3600))/3.1416)*2000</f>
        <v>142.88462753390263</v>
      </c>
      <c r="D37" s="2" t="s">
        <v>16</v>
      </c>
      <c r="E37" s="75" t="s">
        <v>131</v>
      </c>
      <c r="F37" s="76">
        <v>144</v>
      </c>
      <c r="G37" t="s">
        <v>163</v>
      </c>
      <c r="J37" s="5"/>
      <c r="K37" s="1"/>
    </row>
    <row r="38" spans="2:11" x14ac:dyDescent="0.35">
      <c r="B38" s="4" t="s">
        <v>82</v>
      </c>
      <c r="C38" s="10">
        <f>+SQRT((C19/(C36*3600))/3.1416)*2000</f>
        <v>94.709595117957335</v>
      </c>
      <c r="D38" s="2" t="s">
        <v>16</v>
      </c>
      <c r="E38" s="75" t="s">
        <v>121</v>
      </c>
      <c r="F38" s="76">
        <v>99</v>
      </c>
      <c r="G38" t="s">
        <v>163</v>
      </c>
      <c r="K38" s="1"/>
    </row>
    <row r="39" spans="2:11" x14ac:dyDescent="0.35">
      <c r="B39" s="37" t="s">
        <v>83</v>
      </c>
      <c r="C39" s="71">
        <f>+C35</f>
        <v>69.270075000000006</v>
      </c>
      <c r="D39" s="2" t="str">
        <f>+D17</f>
        <v>m³/h</v>
      </c>
      <c r="E39" s="54"/>
      <c r="F39" s="73"/>
      <c r="G39" s="62" t="s">
        <v>161</v>
      </c>
      <c r="K39" s="1"/>
    </row>
    <row r="40" spans="2:11" x14ac:dyDescent="0.35">
      <c r="B40" s="37" t="s">
        <v>84</v>
      </c>
      <c r="C40" s="7">
        <v>1.8</v>
      </c>
      <c r="D40" s="2" t="s">
        <v>74</v>
      </c>
      <c r="E40" s="54"/>
      <c r="F40" s="74" t="str">
        <f>+TEXT( (C39/3600) / (PI() * (F41/1000)^2 / 4), "0,00") &amp; " m/s"</f>
        <v>1,92 m/s</v>
      </c>
      <c r="G40" t="s">
        <v>159</v>
      </c>
    </row>
    <row r="41" spans="2:11" ht="15" thickBot="1" x14ac:dyDescent="0.4">
      <c r="B41" s="6" t="s">
        <v>85</v>
      </c>
      <c r="C41" s="32">
        <f>+SQRT((C39/(C40*3600))/3.1416)*2000</f>
        <v>116.66480984856311</v>
      </c>
      <c r="D41" s="3" t="s">
        <v>16</v>
      </c>
      <c r="E41" s="75" t="s">
        <v>122</v>
      </c>
      <c r="F41" s="76">
        <v>113</v>
      </c>
      <c r="G41" t="s">
        <v>163</v>
      </c>
    </row>
    <row r="42" spans="2:11" x14ac:dyDescent="0.35">
      <c r="B42" s="37" t="s">
        <v>10</v>
      </c>
      <c r="C42" s="7">
        <v>1.7</v>
      </c>
      <c r="D42" s="2" t="s">
        <v>74</v>
      </c>
      <c r="E42" s="54"/>
      <c r="F42" s="74" t="str">
        <f>+TEXT( (C19/3600) / (PI() * (F43/1000)^2 / 4), "0,00") &amp; " m/s"</f>
        <v>1,64 m/s</v>
      </c>
      <c r="G42" t="s">
        <v>160</v>
      </c>
    </row>
    <row r="43" spans="2:11" x14ac:dyDescent="0.35">
      <c r="B43" s="37" t="s">
        <v>120</v>
      </c>
      <c r="C43" s="10">
        <f>(+SQRT(((C39/C22)/(C42*3600))/3.1416)*2000)</f>
        <v>84.886117729098572</v>
      </c>
      <c r="D43" s="2" t="s">
        <v>16</v>
      </c>
      <c r="E43" s="75" t="s">
        <v>132</v>
      </c>
      <c r="F43" s="76">
        <v>81</v>
      </c>
      <c r="G43" t="s">
        <v>163</v>
      </c>
    </row>
    <row r="44" spans="2:11" ht="15" thickBot="1" x14ac:dyDescent="0.4">
      <c r="B44" s="6" t="s">
        <v>94</v>
      </c>
      <c r="C44" s="32">
        <f>+SQRT((C35/(0.6*3600))/3.1416)*2000</f>
        <v>202.06937811307324</v>
      </c>
      <c r="D44" s="3" t="s">
        <v>16</v>
      </c>
      <c r="E44" s="75" t="s">
        <v>166</v>
      </c>
      <c r="F44" s="76">
        <v>203</v>
      </c>
    </row>
    <row r="45" spans="2:11" x14ac:dyDescent="0.35">
      <c r="F45" s="74" t="str">
        <f>+TEXT( (C39/3600) / (PI() * (F44/1000)^2 / 4), "0,00") &amp; " m/s"</f>
        <v>0,59 m/s</v>
      </c>
    </row>
    <row r="46" spans="2:11" x14ac:dyDescent="0.35">
      <c r="F46" s="76"/>
    </row>
    <row r="48" spans="2:11" ht="15" thickBot="1" x14ac:dyDescent="0.4"/>
    <row r="49" spans="3:7" ht="39.5" thickBot="1" x14ac:dyDescent="0.4">
      <c r="C49" s="11" t="s">
        <v>24</v>
      </c>
      <c r="D49" s="12" t="s">
        <v>25</v>
      </c>
      <c r="E49" s="51"/>
      <c r="F49" s="51"/>
      <c r="G49" s="13" t="s">
        <v>26</v>
      </c>
    </row>
    <row r="50" spans="3:7" ht="38" thickBot="1" x14ac:dyDescent="0.4">
      <c r="C50" s="14" t="s">
        <v>27</v>
      </c>
      <c r="D50" s="15" t="s">
        <v>28</v>
      </c>
      <c r="E50" s="52"/>
      <c r="F50" s="52"/>
      <c r="G50" s="16" t="s">
        <v>29</v>
      </c>
    </row>
    <row r="51" spans="3:7" ht="38" thickBot="1" x14ac:dyDescent="0.4">
      <c r="C51" s="14" t="s">
        <v>30</v>
      </c>
      <c r="D51" s="15" t="s">
        <v>31</v>
      </c>
      <c r="E51" s="52"/>
      <c r="F51" s="52"/>
      <c r="G51" s="16" t="s">
        <v>32</v>
      </c>
    </row>
    <row r="52" spans="3:7" ht="38" thickBot="1" x14ac:dyDescent="0.4">
      <c r="C52" s="17" t="s">
        <v>33</v>
      </c>
      <c r="D52" s="18" t="s">
        <v>34</v>
      </c>
      <c r="E52" s="53"/>
      <c r="F52" s="53"/>
      <c r="G52" s="19" t="s">
        <v>35</v>
      </c>
    </row>
  </sheetData>
  <mergeCells count="2">
    <mergeCell ref="B5:C5"/>
    <mergeCell ref="J5:K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A49A-4B20-4C58-912D-9134BA86288E}">
  <dimension ref="B2:N20"/>
  <sheetViews>
    <sheetView workbookViewId="0">
      <selection activeCell="B21" sqref="B21"/>
    </sheetView>
  </sheetViews>
  <sheetFormatPr baseColWidth="10" defaultRowHeight="14.5" x14ac:dyDescent="0.35"/>
  <cols>
    <col min="2" max="2" width="41.6328125" customWidth="1"/>
    <col min="5" max="5" width="10.90625" customWidth="1"/>
    <col min="6" max="6" width="22.6328125" customWidth="1"/>
    <col min="7" max="7" width="25.26953125" customWidth="1"/>
    <col min="9" max="9" width="23.26953125" customWidth="1"/>
    <col min="10" max="10" width="17.08984375" customWidth="1"/>
    <col min="12" max="12" width="26.453125" customWidth="1"/>
    <col min="13" max="13" width="20.36328125" style="63" customWidth="1"/>
  </cols>
  <sheetData>
    <row r="2" spans="2:14" ht="21" x14ac:dyDescent="0.5">
      <c r="B2" s="42" t="s">
        <v>91</v>
      </c>
    </row>
    <row r="3" spans="2:14" x14ac:dyDescent="0.35">
      <c r="I3" s="83" t="s">
        <v>119</v>
      </c>
      <c r="J3" s="84"/>
      <c r="L3" s="83" t="s">
        <v>138</v>
      </c>
      <c r="M3" s="84"/>
    </row>
    <row r="4" spans="2:14" x14ac:dyDescent="0.35">
      <c r="B4" s="40" t="s">
        <v>88</v>
      </c>
      <c r="C4" s="41" t="s">
        <v>96</v>
      </c>
      <c r="D4" s="41"/>
      <c r="F4" s="46" t="s">
        <v>97</v>
      </c>
      <c r="G4" s="46" t="s">
        <v>99</v>
      </c>
      <c r="I4" s="61" t="s">
        <v>151</v>
      </c>
      <c r="J4" s="61" t="s">
        <v>135</v>
      </c>
      <c r="L4" s="61" t="s">
        <v>147</v>
      </c>
      <c r="M4" s="61" t="s">
        <v>148</v>
      </c>
    </row>
    <row r="5" spans="2:14" x14ac:dyDescent="0.35">
      <c r="B5" s="22" t="s">
        <v>36</v>
      </c>
      <c r="C5" s="20">
        <f>+'Piscina 1_PB'!C13</f>
        <v>243.47399999999999</v>
      </c>
      <c r="D5" s="20" t="s">
        <v>5</v>
      </c>
      <c r="F5" s="48" t="s">
        <v>100</v>
      </c>
      <c r="G5" s="47" t="s">
        <v>101</v>
      </c>
      <c r="I5" t="s">
        <v>44</v>
      </c>
      <c r="J5" s="38" t="s">
        <v>51</v>
      </c>
      <c r="L5" t="s">
        <v>149</v>
      </c>
      <c r="M5" s="63">
        <v>56</v>
      </c>
      <c r="N5" t="s">
        <v>9</v>
      </c>
    </row>
    <row r="6" spans="2:14" x14ac:dyDescent="0.35">
      <c r="B6" s="23" t="s">
        <v>37</v>
      </c>
      <c r="C6">
        <v>4</v>
      </c>
      <c r="D6" t="s">
        <v>7</v>
      </c>
      <c r="F6" s="48" t="s">
        <v>102</v>
      </c>
      <c r="G6" s="47" t="s">
        <v>103</v>
      </c>
      <c r="I6" t="s">
        <v>46</v>
      </c>
      <c r="J6" s="38">
        <v>2</v>
      </c>
      <c r="L6" t="s">
        <v>140</v>
      </c>
      <c r="M6" s="63">
        <v>18</v>
      </c>
      <c r="N6" t="s">
        <v>4</v>
      </c>
    </row>
    <row r="7" spans="2:14" x14ac:dyDescent="0.35">
      <c r="B7" s="23" t="s">
        <v>164</v>
      </c>
      <c r="C7">
        <f>+C5/C6</f>
        <v>60.868499999999997</v>
      </c>
      <c r="D7" t="s">
        <v>9</v>
      </c>
      <c r="F7" s="48" t="s">
        <v>104</v>
      </c>
      <c r="G7" s="65" t="s">
        <v>165</v>
      </c>
      <c r="I7" t="s">
        <v>45</v>
      </c>
      <c r="J7" s="38" t="s">
        <v>134</v>
      </c>
      <c r="L7" t="s">
        <v>150</v>
      </c>
      <c r="M7" s="63">
        <v>2</v>
      </c>
    </row>
    <row r="8" spans="2:14" x14ac:dyDescent="0.35">
      <c r="B8" s="23" t="s">
        <v>41</v>
      </c>
      <c r="C8">
        <v>40</v>
      </c>
      <c r="D8" t="s">
        <v>11</v>
      </c>
      <c r="F8" s="48" t="s">
        <v>105</v>
      </c>
      <c r="G8" s="47" t="s">
        <v>106</v>
      </c>
      <c r="I8" t="s">
        <v>47</v>
      </c>
      <c r="J8" s="38" t="s">
        <v>52</v>
      </c>
      <c r="L8" t="s">
        <v>141</v>
      </c>
      <c r="M8" s="63">
        <v>12</v>
      </c>
      <c r="N8" t="s">
        <v>142</v>
      </c>
    </row>
    <row r="9" spans="2:14" x14ac:dyDescent="0.35">
      <c r="B9" s="23" t="s">
        <v>38</v>
      </c>
      <c r="C9">
        <v>2</v>
      </c>
      <c r="D9" t="s">
        <v>14</v>
      </c>
      <c r="F9" s="48" t="s">
        <v>107</v>
      </c>
      <c r="G9" s="47" t="s">
        <v>108</v>
      </c>
      <c r="I9" t="s">
        <v>48</v>
      </c>
      <c r="J9" s="38" t="s">
        <v>133</v>
      </c>
      <c r="L9" t="s">
        <v>143</v>
      </c>
      <c r="M9" s="64">
        <v>62</v>
      </c>
      <c r="N9" t="s">
        <v>9</v>
      </c>
    </row>
    <row r="10" spans="2:14" x14ac:dyDescent="0.35">
      <c r="B10" s="23" t="s">
        <v>39</v>
      </c>
      <c r="C10" s="1">
        <f>+(C7/C8)/C9</f>
        <v>0.76085625000000001</v>
      </c>
      <c r="D10" t="s">
        <v>12</v>
      </c>
      <c r="F10" s="48" t="s">
        <v>109</v>
      </c>
      <c r="G10" s="60" t="s">
        <v>132</v>
      </c>
      <c r="I10" t="s">
        <v>49</v>
      </c>
      <c r="J10" s="38" t="s">
        <v>53</v>
      </c>
      <c r="L10" t="s">
        <v>144</v>
      </c>
      <c r="M10" s="64">
        <v>12.46</v>
      </c>
      <c r="N10" t="s">
        <v>142</v>
      </c>
    </row>
    <row r="11" spans="2:14" x14ac:dyDescent="0.35">
      <c r="B11" s="23" t="s">
        <v>42</v>
      </c>
      <c r="C11" s="1">
        <f>+SQRT(C10*4/3.1415)</f>
        <v>0.98426664942976261</v>
      </c>
      <c r="D11" t="s">
        <v>4</v>
      </c>
      <c r="F11" s="48" t="s">
        <v>98</v>
      </c>
      <c r="G11" s="47" t="s">
        <v>110</v>
      </c>
      <c r="I11" t="s">
        <v>50</v>
      </c>
      <c r="J11" s="38" t="s">
        <v>136</v>
      </c>
      <c r="L11" t="s">
        <v>139</v>
      </c>
      <c r="M11" s="63" t="s">
        <v>145</v>
      </c>
    </row>
    <row r="12" spans="2:14" ht="15" thickBot="1" x14ac:dyDescent="0.4">
      <c r="B12" s="24" t="s">
        <v>40</v>
      </c>
      <c r="C12" s="21">
        <v>1050</v>
      </c>
      <c r="D12" s="21" t="s">
        <v>43</v>
      </c>
      <c r="F12" s="5"/>
      <c r="I12" s="62" t="s">
        <v>137</v>
      </c>
      <c r="J12" s="39"/>
      <c r="L12" s="62" t="s">
        <v>146</v>
      </c>
    </row>
    <row r="13" spans="2:14" x14ac:dyDescent="0.35">
      <c r="B13" s="23"/>
      <c r="F13" s="5"/>
      <c r="I13" s="62"/>
      <c r="J13" s="39"/>
      <c r="L13" s="62"/>
    </row>
    <row r="14" spans="2:14" x14ac:dyDescent="0.35">
      <c r="F14" s="5"/>
      <c r="J14" s="39"/>
    </row>
    <row r="17" spans="6:7" x14ac:dyDescent="0.35">
      <c r="F17" t="s">
        <v>113</v>
      </c>
      <c r="G17" t="s">
        <v>114</v>
      </c>
    </row>
    <row r="18" spans="6:7" x14ac:dyDescent="0.35">
      <c r="F18" t="s">
        <v>112</v>
      </c>
      <c r="G18" t="s">
        <v>111</v>
      </c>
    </row>
    <row r="19" spans="6:7" x14ac:dyDescent="0.35">
      <c r="F19" t="s">
        <v>115</v>
      </c>
      <c r="G19" t="s">
        <v>116</v>
      </c>
    </row>
    <row r="20" spans="6:7" x14ac:dyDescent="0.35">
      <c r="F20" t="s">
        <v>117</v>
      </c>
      <c r="G20" t="s">
        <v>118</v>
      </c>
    </row>
  </sheetData>
  <mergeCells count="2">
    <mergeCell ref="I3:J3"/>
    <mergeCell ref="L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9E6D-5A26-4675-8A69-A6CEE6326CA4}">
  <dimension ref="B3:F15"/>
  <sheetViews>
    <sheetView workbookViewId="0">
      <selection activeCell="A17" sqref="A17:XFD29"/>
    </sheetView>
  </sheetViews>
  <sheetFormatPr baseColWidth="10" defaultRowHeight="14.5" x14ac:dyDescent="0.35"/>
  <cols>
    <col min="2" max="2" width="3.90625" style="23" customWidth="1"/>
    <col min="3" max="3" width="32.36328125" customWidth="1"/>
  </cols>
  <sheetData>
    <row r="3" spans="2:6" ht="21" x14ac:dyDescent="0.5">
      <c r="C3" s="42" t="s">
        <v>90</v>
      </c>
    </row>
    <row r="10" spans="2:6" x14ac:dyDescent="0.35">
      <c r="B10" s="85" t="s">
        <v>88</v>
      </c>
      <c r="C10" s="85"/>
      <c r="D10" s="85"/>
      <c r="E10" s="85"/>
    </row>
    <row r="11" spans="2:6" x14ac:dyDescent="0.35">
      <c r="B11" s="25" t="s">
        <v>54</v>
      </c>
      <c r="C11" s="20" t="s">
        <v>55</v>
      </c>
      <c r="D11" s="20">
        <f>+'Piscina 1_PB'!C13</f>
        <v>243.47399999999999</v>
      </c>
      <c r="E11" s="20" t="s">
        <v>5</v>
      </c>
    </row>
    <row r="12" spans="2:6" x14ac:dyDescent="0.35">
      <c r="B12" s="26" t="s">
        <v>57</v>
      </c>
      <c r="C12" t="s">
        <v>56</v>
      </c>
      <c r="D12">
        <v>3</v>
      </c>
      <c r="E12" t="s">
        <v>64</v>
      </c>
      <c r="F12" t="s">
        <v>156</v>
      </c>
    </row>
    <row r="13" spans="2:6" x14ac:dyDescent="0.35">
      <c r="B13" s="26" t="s">
        <v>58</v>
      </c>
      <c r="C13" t="s">
        <v>59</v>
      </c>
      <c r="D13">
        <v>15</v>
      </c>
    </row>
    <row r="14" spans="2:6" x14ac:dyDescent="0.35">
      <c r="B14" s="26" t="s">
        <v>60</v>
      </c>
      <c r="C14" t="s">
        <v>61</v>
      </c>
      <c r="D14">
        <v>8</v>
      </c>
      <c r="E14" t="s">
        <v>7</v>
      </c>
    </row>
    <row r="15" spans="2:6" ht="15" thickBot="1" x14ac:dyDescent="0.4">
      <c r="B15" s="27" t="s">
        <v>62</v>
      </c>
      <c r="C15" s="21" t="s">
        <v>63</v>
      </c>
      <c r="D15" s="28">
        <f>+((D11*D12)+(D13*10))/D14</f>
        <v>110.05275</v>
      </c>
      <c r="E15" s="28" t="s">
        <v>65</v>
      </c>
    </row>
  </sheetData>
  <mergeCells count="1">
    <mergeCell ref="B10:E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6408-1629-44B0-9943-91EEF77EFCE4}">
  <dimension ref="B2:D11"/>
  <sheetViews>
    <sheetView workbookViewId="0">
      <selection activeCell="A14" sqref="A14:XFD31"/>
    </sheetView>
  </sheetViews>
  <sheetFormatPr baseColWidth="10" defaultRowHeight="14.5" x14ac:dyDescent="0.35"/>
  <cols>
    <col min="2" max="2" width="28.26953125" customWidth="1"/>
  </cols>
  <sheetData>
    <row r="2" spans="2:4" ht="21" x14ac:dyDescent="0.5">
      <c r="B2" s="42" t="s">
        <v>89</v>
      </c>
    </row>
    <row r="4" spans="2:4" ht="15" customHeight="1" x14ac:dyDescent="0.35">
      <c r="B4" s="85" t="s">
        <v>88</v>
      </c>
      <c r="C4" s="85"/>
      <c r="D4" s="85"/>
    </row>
    <row r="5" spans="2:4" x14ac:dyDescent="0.35">
      <c r="B5" s="20" t="s">
        <v>66</v>
      </c>
      <c r="C5" s="30">
        <v>24.9</v>
      </c>
      <c r="D5" s="20" t="s">
        <v>12</v>
      </c>
    </row>
    <row r="6" spans="2:4" x14ac:dyDescent="0.35">
      <c r="B6" t="s">
        <v>67</v>
      </c>
      <c r="C6" s="31">
        <v>3</v>
      </c>
      <c r="D6" t="s">
        <v>12</v>
      </c>
    </row>
    <row r="7" spans="2:4" x14ac:dyDescent="0.35">
      <c r="B7" t="s">
        <v>68</v>
      </c>
      <c r="C7">
        <f>+C5*C6</f>
        <v>74.699999999999989</v>
      </c>
      <c r="D7" t="s">
        <v>5</v>
      </c>
    </row>
    <row r="8" spans="2:4" x14ac:dyDescent="0.35">
      <c r="B8" t="s">
        <v>69</v>
      </c>
      <c r="C8">
        <v>7</v>
      </c>
    </row>
    <row r="9" spans="2:4" x14ac:dyDescent="0.35">
      <c r="B9" t="s">
        <v>70</v>
      </c>
      <c r="C9" s="29">
        <f>+C7*C8/3600</f>
        <v>0.14524999999999996</v>
      </c>
      <c r="D9" t="s">
        <v>73</v>
      </c>
    </row>
    <row r="10" spans="2:4" x14ac:dyDescent="0.35">
      <c r="B10" t="s">
        <v>71</v>
      </c>
      <c r="C10">
        <v>0.5</v>
      </c>
      <c r="D10" t="s">
        <v>74</v>
      </c>
    </row>
    <row r="11" spans="2:4" ht="15" thickBot="1" x14ac:dyDescent="0.4">
      <c r="B11" s="21" t="s">
        <v>72</v>
      </c>
      <c r="C11" s="32">
        <f>+C9/C10</f>
        <v>0.29049999999999992</v>
      </c>
      <c r="D11" s="21" t="s">
        <v>12</v>
      </c>
    </row>
  </sheetData>
  <mergeCells count="1">
    <mergeCell ref="B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673E-769E-4281-A2C7-36F5DD3F55FC}">
  <dimension ref="A1:E26"/>
  <sheetViews>
    <sheetView workbookViewId="0">
      <selection activeCell="S19" sqref="S19"/>
    </sheetView>
  </sheetViews>
  <sheetFormatPr baseColWidth="10" defaultRowHeight="14.5" x14ac:dyDescent="0.35"/>
  <sheetData>
    <row r="1" spans="1:5" x14ac:dyDescent="0.35">
      <c r="A1" s="86" t="s">
        <v>123</v>
      </c>
      <c r="B1" s="86"/>
      <c r="C1" s="86"/>
      <c r="D1" s="86"/>
      <c r="E1" s="86"/>
    </row>
    <row r="2" spans="1:5" x14ac:dyDescent="0.35">
      <c r="A2" s="55" t="s">
        <v>124</v>
      </c>
      <c r="B2" s="86" t="s">
        <v>125</v>
      </c>
      <c r="C2" s="86"/>
      <c r="D2" s="86"/>
      <c r="E2" s="86"/>
    </row>
    <row r="3" spans="1:5" x14ac:dyDescent="0.35">
      <c r="A3" s="56"/>
      <c r="B3" s="56" t="s">
        <v>126</v>
      </c>
      <c r="C3" s="56" t="s">
        <v>127</v>
      </c>
      <c r="D3" s="58" t="s">
        <v>128</v>
      </c>
      <c r="E3" s="56" t="s">
        <v>129</v>
      </c>
    </row>
    <row r="4" spans="1:5" x14ac:dyDescent="0.35">
      <c r="A4" s="56">
        <v>16</v>
      </c>
      <c r="B4" s="57" t="s">
        <v>130</v>
      </c>
      <c r="C4" s="57" t="s">
        <v>130</v>
      </c>
      <c r="D4" s="59" t="s">
        <v>130</v>
      </c>
      <c r="E4" s="57">
        <v>13.6</v>
      </c>
    </row>
    <row r="5" spans="1:5" x14ac:dyDescent="0.35">
      <c r="A5" s="56">
        <v>20</v>
      </c>
      <c r="B5" s="57" t="s">
        <v>130</v>
      </c>
      <c r="C5" s="57">
        <v>17.5</v>
      </c>
      <c r="D5" s="59" t="s">
        <v>130</v>
      </c>
      <c r="E5" s="57">
        <v>17</v>
      </c>
    </row>
    <row r="6" spans="1:5" x14ac:dyDescent="0.35">
      <c r="A6" s="56">
        <v>25</v>
      </c>
      <c r="B6" s="57">
        <v>22.6</v>
      </c>
      <c r="C6" s="57">
        <v>22.6</v>
      </c>
      <c r="D6" s="59">
        <v>22</v>
      </c>
      <c r="E6" s="57">
        <v>21.2</v>
      </c>
    </row>
    <row r="7" spans="1:5" x14ac:dyDescent="0.35">
      <c r="A7" s="56">
        <v>32</v>
      </c>
      <c r="B7" s="57">
        <v>29.6</v>
      </c>
      <c r="C7" s="57">
        <v>29.2</v>
      </c>
      <c r="D7" s="59">
        <v>28.4</v>
      </c>
      <c r="E7" s="57">
        <v>27.2</v>
      </c>
    </row>
    <row r="8" spans="1:5" x14ac:dyDescent="0.35">
      <c r="A8" s="56">
        <v>40</v>
      </c>
      <c r="B8" s="57">
        <v>37.200000000000003</v>
      </c>
      <c r="C8" s="57">
        <v>36.4</v>
      </c>
      <c r="D8" s="59">
        <v>36</v>
      </c>
      <c r="E8" s="57">
        <v>34</v>
      </c>
    </row>
    <row r="9" spans="1:5" x14ac:dyDescent="0.35">
      <c r="A9" s="56">
        <v>50</v>
      </c>
      <c r="B9" s="57">
        <v>47.2</v>
      </c>
      <c r="C9" s="57">
        <v>46.4</v>
      </c>
      <c r="D9" s="59">
        <v>45.2</v>
      </c>
      <c r="E9" s="57">
        <v>42.6</v>
      </c>
    </row>
    <row r="10" spans="1:5" x14ac:dyDescent="0.35">
      <c r="A10" s="56">
        <v>63</v>
      </c>
      <c r="B10" s="57">
        <v>59.4</v>
      </c>
      <c r="C10" s="57">
        <v>59.2</v>
      </c>
      <c r="D10" s="59">
        <v>57</v>
      </c>
      <c r="E10" s="57">
        <v>53.6</v>
      </c>
    </row>
    <row r="11" spans="1:5" x14ac:dyDescent="0.35">
      <c r="A11" s="56">
        <v>75</v>
      </c>
      <c r="B11" s="57">
        <v>71.400000000000006</v>
      </c>
      <c r="C11" s="57">
        <v>70.599999999999994</v>
      </c>
      <c r="D11" s="59">
        <v>67.8</v>
      </c>
      <c r="E11" s="57">
        <v>63.8</v>
      </c>
    </row>
    <row r="12" spans="1:5" x14ac:dyDescent="0.35">
      <c r="A12" s="56">
        <v>90</v>
      </c>
      <c r="B12" s="57">
        <v>86.4</v>
      </c>
      <c r="C12" s="57">
        <v>84.6</v>
      </c>
      <c r="D12" s="59">
        <v>81.400000000000006</v>
      </c>
      <c r="E12" s="57">
        <v>76.599999999999994</v>
      </c>
    </row>
    <row r="13" spans="1:5" x14ac:dyDescent="0.35">
      <c r="A13" s="56">
        <v>110</v>
      </c>
      <c r="B13" s="57">
        <v>105.6</v>
      </c>
      <c r="C13" s="57">
        <v>103.6</v>
      </c>
      <c r="D13" s="59">
        <v>99.4</v>
      </c>
      <c r="E13" s="57">
        <v>93.6</v>
      </c>
    </row>
    <row r="14" spans="1:5" x14ac:dyDescent="0.35">
      <c r="A14" s="56">
        <v>125</v>
      </c>
      <c r="B14" s="57">
        <v>120</v>
      </c>
      <c r="C14" s="57">
        <v>117.6</v>
      </c>
      <c r="D14" s="59">
        <v>113</v>
      </c>
      <c r="E14" s="57">
        <v>106.4</v>
      </c>
    </row>
    <row r="15" spans="1:5" x14ac:dyDescent="0.35">
      <c r="A15" s="56">
        <v>140</v>
      </c>
      <c r="B15" s="57">
        <v>134.4</v>
      </c>
      <c r="C15" s="57">
        <v>131.80000000000001</v>
      </c>
      <c r="D15" s="59">
        <v>126.6</v>
      </c>
      <c r="E15" s="57">
        <v>119.2</v>
      </c>
    </row>
    <row r="16" spans="1:5" x14ac:dyDescent="0.35">
      <c r="A16" s="56">
        <v>160</v>
      </c>
      <c r="B16" s="57">
        <v>153.6</v>
      </c>
      <c r="C16" s="57">
        <v>150.6</v>
      </c>
      <c r="D16" s="59">
        <v>144.6</v>
      </c>
      <c r="E16" s="57">
        <v>136.19999999999999</v>
      </c>
    </row>
    <row r="17" spans="1:5" x14ac:dyDescent="0.35">
      <c r="A17" s="56">
        <v>180</v>
      </c>
      <c r="B17" s="57">
        <v>172.8</v>
      </c>
      <c r="C17" s="57">
        <v>169.4</v>
      </c>
      <c r="D17" s="59">
        <v>162.80000000000001</v>
      </c>
      <c r="E17" s="57">
        <v>153.19999999999999</v>
      </c>
    </row>
    <row r="18" spans="1:5" x14ac:dyDescent="0.35">
      <c r="A18" s="56">
        <v>200</v>
      </c>
      <c r="B18" s="57">
        <v>192</v>
      </c>
      <c r="C18" s="57">
        <v>188.2</v>
      </c>
      <c r="D18" s="59">
        <v>180.8</v>
      </c>
      <c r="E18" s="57">
        <v>170.4</v>
      </c>
    </row>
    <row r="19" spans="1:5" x14ac:dyDescent="0.35">
      <c r="A19" s="56">
        <v>225</v>
      </c>
      <c r="B19" s="57">
        <v>216</v>
      </c>
      <c r="C19" s="57">
        <v>211.8</v>
      </c>
      <c r="D19" s="59">
        <v>203.4</v>
      </c>
      <c r="E19" s="57">
        <v>191.4</v>
      </c>
    </row>
    <row r="20" spans="1:5" x14ac:dyDescent="0.35">
      <c r="A20" s="56">
        <v>250</v>
      </c>
      <c r="B20" s="57">
        <v>240.2</v>
      </c>
      <c r="C20" s="57">
        <v>235.4</v>
      </c>
      <c r="D20" s="59">
        <v>226.2</v>
      </c>
      <c r="E20" s="57">
        <v>213</v>
      </c>
    </row>
    <row r="21" spans="1:5" x14ac:dyDescent="0.35">
      <c r="A21" s="56">
        <v>280</v>
      </c>
      <c r="B21" s="57">
        <v>269</v>
      </c>
      <c r="C21" s="57">
        <v>263.60000000000002</v>
      </c>
      <c r="D21" s="59">
        <v>253.2</v>
      </c>
      <c r="E21" s="57">
        <v>238.4</v>
      </c>
    </row>
    <row r="22" spans="1:5" x14ac:dyDescent="0.35">
      <c r="A22" s="56">
        <v>315</v>
      </c>
      <c r="B22" s="57">
        <v>302.60000000000002</v>
      </c>
      <c r="C22" s="57">
        <v>296.60000000000002</v>
      </c>
      <c r="D22" s="59">
        <v>285</v>
      </c>
      <c r="E22" s="57">
        <v>268.2</v>
      </c>
    </row>
    <row r="23" spans="1:5" x14ac:dyDescent="0.35">
      <c r="A23" s="56">
        <v>355</v>
      </c>
      <c r="B23" s="57">
        <v>341</v>
      </c>
      <c r="C23" s="57">
        <v>334.2</v>
      </c>
      <c r="D23" s="59">
        <v>321.2</v>
      </c>
      <c r="E23" s="57">
        <v>302.39999999999998</v>
      </c>
    </row>
    <row r="24" spans="1:5" x14ac:dyDescent="0.35">
      <c r="A24" s="56">
        <v>400</v>
      </c>
      <c r="B24" s="57">
        <v>384.2</v>
      </c>
      <c r="C24" s="57">
        <v>376.6</v>
      </c>
      <c r="D24" s="59">
        <v>361.8</v>
      </c>
      <c r="E24" s="57">
        <v>340.6</v>
      </c>
    </row>
    <row r="25" spans="1:5" x14ac:dyDescent="0.35">
      <c r="A25" s="56">
        <v>450</v>
      </c>
      <c r="B25" s="57">
        <v>432.4</v>
      </c>
      <c r="C25" s="57">
        <v>423.8</v>
      </c>
      <c r="D25" s="59">
        <v>407</v>
      </c>
      <c r="E25" s="57">
        <v>383.2</v>
      </c>
    </row>
    <row r="26" spans="1:5" x14ac:dyDescent="0.35">
      <c r="A26" s="56">
        <v>500</v>
      </c>
      <c r="B26" s="57">
        <v>480.4</v>
      </c>
      <c r="C26" s="57">
        <v>470.8</v>
      </c>
      <c r="D26" s="59">
        <v>452.2</v>
      </c>
      <c r="E26" s="57">
        <v>425.8</v>
      </c>
    </row>
  </sheetData>
  <mergeCells count="2">
    <mergeCell ref="A1:E1"/>
    <mergeCell ref="B2:E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9EBA1406E96445A80543D9131015DC" ma:contentTypeVersion="14" ma:contentTypeDescription="Crear nuevo documento." ma:contentTypeScope="" ma:versionID="13de73590fa5056e7ef365f29673104d">
  <xsd:schema xmlns:xsd="http://www.w3.org/2001/XMLSchema" xmlns:xs="http://www.w3.org/2001/XMLSchema" xmlns:p="http://schemas.microsoft.com/office/2006/metadata/properties" xmlns:ns2="18a59cfb-bc57-47a9-aa75-01f7bcacb79c" xmlns:ns3="a0e32d63-5ef6-47f5-a72b-7fb582acfee9" targetNamespace="http://schemas.microsoft.com/office/2006/metadata/properties" ma:root="true" ma:fieldsID="4f9248b6f4c9c4dd33b14bdac6b7bedc" ns2:_="" ns3:_="">
    <xsd:import namespace="18a59cfb-bc57-47a9-aa75-01f7bcacb79c"/>
    <xsd:import namespace="a0e32d63-5ef6-47f5-a72b-7fb582acf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a59cfb-bc57-47a9-aa75-01f7bcacb7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80d63d2-8451-4b65-bc0b-1d1c7fed98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32d63-5ef6-47f5-a72b-7fb582acf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e827f14-d48b-41ef-9c3c-d36f62b67a6b}" ma:internalName="TaxCatchAll" ma:showField="CatchAllData" ma:web="a0e32d63-5ef6-47f5-a72b-7fb582acf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32d63-5ef6-47f5-a72b-7fb582acfee9"/>
    <lcf76f155ced4ddcb4097134ff3c332f xmlns="18a59cfb-bc57-47a9-aa75-01f7bcacb79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DFBACF-6601-48D9-BAAD-7A29E7432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a59cfb-bc57-47a9-aa75-01f7bcacb79c"/>
    <ds:schemaRef ds:uri="a0e32d63-5ef6-47f5-a72b-7fb582acf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DAD638-8D57-4D7D-9894-DC9960D3E2E2}">
  <ds:schemaRefs>
    <ds:schemaRef ds:uri="http://schemas.microsoft.com/office/2006/documentManagement/types"/>
    <ds:schemaRef ds:uri="http://schemas.microsoft.com/office/infopath/2007/PartnerControls"/>
    <ds:schemaRef ds:uri="a0e32d63-5ef6-47f5-a72b-7fb582acfee9"/>
    <ds:schemaRef ds:uri="http://schemas.microsoft.com/office/2006/metadata/properties"/>
    <ds:schemaRef ds:uri="http://purl.org/dc/elements/1.1/"/>
    <ds:schemaRef ds:uri="18a59cfb-bc57-47a9-aa75-01f7bcacb79c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3C09FCF-E306-489D-90B9-B2BE1A5FB6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Piscina 1_PB</vt:lpstr>
      <vt:lpstr>Filtrado</vt:lpstr>
      <vt:lpstr>Cloracion</vt:lpstr>
      <vt:lpstr>Ventilación</vt:lpstr>
      <vt:lpstr>DN PVC PN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PULIDO GALVEZ</dc:creator>
  <cp:lastModifiedBy>RAFAEL PULIDO GALVEZ</cp:lastModifiedBy>
  <dcterms:created xsi:type="dcterms:W3CDTF">2025-09-22T13:28:49Z</dcterms:created>
  <dcterms:modified xsi:type="dcterms:W3CDTF">2026-04-09T14:26:20Z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0x010100129EBA1406E96445A80543D9131015DC</vt:lpwstr>
  </property>
  <property fmtid="{D5CDD505-2E9C-101B-9397-08002B2CF9AE}" pid="3" name="MediaServiceImageTags">
    <vt:lpwstr/>
  </property>
</Properties>
</file>