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elecnor.sharepoint.com/sites/DN_SUR_Instalaciones/08  Ingeniera y PEM/04 Proyectos y Obra/EPC2501 Prestige Expo Casa Hanna/06 Diseño/Elect-Fuerza/"/>
    </mc:Choice>
  </mc:AlternateContent>
  <xr:revisionPtr revIDLastSave="0" documentId="8_{7F380B89-801E-415E-9737-313FE9FAE973}" xr6:coauthVersionLast="47" xr6:coauthVersionMax="47" xr10:uidLastSave="{00000000-0000-0000-0000-000000000000}"/>
  <bookViews>
    <workbookView xWindow="-28920" yWindow="315" windowWidth="29040" windowHeight="15720" xr2:uid="{00000000-000D-0000-FFFF-FFFF00000000}"/>
  </bookViews>
  <sheets>
    <sheet name="Calculo Bateria Condens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 s="1"/>
  <c r="C13" i="1"/>
  <c r="C14" i="1" s="1"/>
  <c r="C22" i="1" l="1"/>
  <c r="C23" i="1" l="1"/>
  <c r="C24" i="1" s="1"/>
  <c r="C26" i="1"/>
  <c r="C25" i="1"/>
</calcChain>
</file>

<file path=xl/sharedStrings.xml><?xml version="1.0" encoding="utf-8"?>
<sst xmlns="http://schemas.openxmlformats.org/spreadsheetml/2006/main" count="33" uniqueCount="28">
  <si>
    <t>DATOS DE ENTRADA (INPUTS)</t>
  </si>
  <si>
    <t>Potencia Activa (P)</t>
  </si>
  <si>
    <t>kW</t>
  </si>
  <si>
    <t>REF. RÁPIDA tan φ</t>
  </si>
  <si>
    <t>Factor de Potencia Inicial (cos φ1)</t>
  </si>
  <si>
    <t>-</t>
  </si>
  <si>
    <t>cos 0.8</t>
  </si>
  <si>
    <t>Factor de Potencia Objetivo (cos φ2)</t>
  </si>
  <si>
    <t>cos 0.85</t>
  </si>
  <si>
    <t>Tensión de Red (U)</t>
  </si>
  <si>
    <t>V</t>
  </si>
  <si>
    <t>cos 0.9</t>
  </si>
  <si>
    <t>Coeficiente de Seguridad (Protección)</t>
  </si>
  <si>
    <t>cos 0.95</t>
  </si>
  <si>
    <t>cos 1</t>
  </si>
  <si>
    <t>CÁLCULOS INTERMEDIOS (FÓRMULAS TRIGONOMÉTRICAS)</t>
  </si>
  <si>
    <t>Ángulo φ1 (rad)</t>
  </si>
  <si>
    <t>Tangente φ1 (tan φ1)</t>
  </si>
  <si>
    <t>Ángulo φ2 (rad)</t>
  </si>
  <si>
    <t>Tangente φ2 (tan φ2)</t>
  </si>
  <si>
    <t>RESULTADOS Y DIMENSIONAMIENTO</t>
  </si>
  <si>
    <t>Potencia Reactiva Necesaria (Qc)</t>
  </si>
  <si>
    <t>Intensidad Nominal Batería (In)</t>
  </si>
  <si>
    <t>A</t>
  </si>
  <si>
    <t>Intensidad de Protección (Iprot)</t>
  </si>
  <si>
    <t>1:2:4</t>
  </si>
  <si>
    <t>kVar</t>
  </si>
  <si>
    <t>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</si>
</sst>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49" fontId="0" fillId="0" borderId="5" xfId="0" applyNumberForma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49" fontId="0" fillId="0" borderId="7" xfId="0" applyNumberFormat="1" applyBorder="1" applyAlignment="1">
      <alignment horizontal="right" vertical="center"/>
    </xf>
    <xf numFmtId="2" fontId="3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tabSelected="1" workbookViewId="0">
      <selection activeCell="A14" sqref="A14"/>
    </sheetView>
  </sheetViews>
  <sheetFormatPr baseColWidth="10" defaultColWidth="8.7265625" defaultRowHeight="14.5" x14ac:dyDescent="0.35"/>
  <cols>
    <col min="2" max="2" width="35" customWidth="1"/>
    <col min="3" max="3" width="15" customWidth="1"/>
    <col min="4" max="4" width="10" customWidth="1"/>
    <col min="6" max="6" width="9.26953125" bestFit="1" customWidth="1"/>
  </cols>
  <sheetData>
    <row r="1" spans="2:8" ht="15" thickBot="1" x14ac:dyDescent="0.4"/>
    <row r="2" spans="2:8" ht="15.5" x14ac:dyDescent="0.35">
      <c r="B2" s="3" t="s">
        <v>0</v>
      </c>
      <c r="C2" s="4"/>
      <c r="D2" s="4"/>
      <c r="E2" s="5"/>
    </row>
    <row r="3" spans="2:8" x14ac:dyDescent="0.35">
      <c r="B3" s="6"/>
      <c r="C3" s="7"/>
      <c r="D3" s="7"/>
      <c r="E3" s="8"/>
    </row>
    <row r="4" spans="2:8" x14ac:dyDescent="0.35">
      <c r="B4" s="6" t="s">
        <v>1</v>
      </c>
      <c r="C4" s="9">
        <v>204</v>
      </c>
      <c r="D4" s="7" t="s">
        <v>2</v>
      </c>
      <c r="E4" s="8"/>
      <c r="G4" s="1" t="s">
        <v>3</v>
      </c>
    </row>
    <row r="5" spans="2:8" x14ac:dyDescent="0.35">
      <c r="B5" s="6" t="s">
        <v>4</v>
      </c>
      <c r="C5" s="9">
        <v>0.87</v>
      </c>
      <c r="D5" s="7" t="s">
        <v>5</v>
      </c>
      <c r="E5" s="8"/>
      <c r="G5" t="s">
        <v>6</v>
      </c>
      <c r="H5">
        <v>0.75</v>
      </c>
    </row>
    <row r="6" spans="2:8" x14ac:dyDescent="0.35">
      <c r="B6" s="6" t="s">
        <v>7</v>
      </c>
      <c r="C6" s="9">
        <v>0.95</v>
      </c>
      <c r="D6" s="7" t="s">
        <v>5</v>
      </c>
      <c r="E6" s="8"/>
      <c r="G6" t="s">
        <v>8</v>
      </c>
      <c r="H6">
        <v>0.62</v>
      </c>
    </row>
    <row r="7" spans="2:8" x14ac:dyDescent="0.35">
      <c r="B7" s="6" t="s">
        <v>9</v>
      </c>
      <c r="C7" s="9">
        <v>400</v>
      </c>
      <c r="D7" s="7" t="s">
        <v>10</v>
      </c>
      <c r="E7" s="8"/>
      <c r="G7" t="s">
        <v>11</v>
      </c>
      <c r="H7">
        <v>0.48</v>
      </c>
    </row>
    <row r="8" spans="2:8" x14ac:dyDescent="0.35">
      <c r="B8" s="6" t="s">
        <v>12</v>
      </c>
      <c r="C8" s="9">
        <v>1.5</v>
      </c>
      <c r="D8" s="7" t="s">
        <v>5</v>
      </c>
      <c r="E8" s="8"/>
      <c r="G8" t="s">
        <v>13</v>
      </c>
      <c r="H8">
        <v>0.33</v>
      </c>
    </row>
    <row r="9" spans="2:8" x14ac:dyDescent="0.35">
      <c r="B9" s="6"/>
      <c r="C9" s="7"/>
      <c r="D9" s="7"/>
      <c r="E9" s="8"/>
      <c r="G9" t="s">
        <v>14</v>
      </c>
      <c r="H9">
        <v>0</v>
      </c>
    </row>
    <row r="10" spans="2:8" x14ac:dyDescent="0.35">
      <c r="B10" s="6"/>
      <c r="C10" s="7"/>
      <c r="D10" s="7"/>
      <c r="E10" s="8"/>
    </row>
    <row r="11" spans="2:8" ht="15.5" x14ac:dyDescent="0.35">
      <c r="B11" s="10" t="s">
        <v>15</v>
      </c>
      <c r="C11" s="11"/>
      <c r="D11" s="11"/>
      <c r="E11" s="12"/>
    </row>
    <row r="12" spans="2:8" x14ac:dyDescent="0.35">
      <c r="B12" s="6"/>
      <c r="C12" s="7"/>
      <c r="D12" s="7"/>
      <c r="E12" s="8"/>
    </row>
    <row r="13" spans="2:8" x14ac:dyDescent="0.35">
      <c r="B13" s="6" t="s">
        <v>16</v>
      </c>
      <c r="C13" s="13">
        <f>ACOS(C5)</f>
        <v>0.51559400624609042</v>
      </c>
      <c r="D13" s="7"/>
      <c r="E13" s="8"/>
    </row>
    <row r="14" spans="2:8" x14ac:dyDescent="0.35">
      <c r="B14" s="6" t="s">
        <v>17</v>
      </c>
      <c r="C14" s="13">
        <f>TAN(C13)</f>
        <v>0.56672611658027805</v>
      </c>
      <c r="D14" s="7"/>
      <c r="E14" s="8"/>
    </row>
    <row r="15" spans="2:8" x14ac:dyDescent="0.35">
      <c r="B15" s="6"/>
      <c r="C15" s="7"/>
      <c r="D15" s="7"/>
      <c r="E15" s="8"/>
    </row>
    <row r="16" spans="2:8" x14ac:dyDescent="0.35">
      <c r="B16" s="6" t="s">
        <v>18</v>
      </c>
      <c r="C16" s="13">
        <f>ACOS(C6)</f>
        <v>0.31756042929152151</v>
      </c>
      <c r="D16" s="7"/>
      <c r="E16" s="8"/>
    </row>
    <row r="17" spans="2:5" x14ac:dyDescent="0.35">
      <c r="B17" s="6" t="s">
        <v>19</v>
      </c>
      <c r="C17" s="13">
        <f>TAN(C16)</f>
        <v>0.32868410517886321</v>
      </c>
      <c r="D17" s="7"/>
      <c r="E17" s="8"/>
    </row>
    <row r="18" spans="2:5" x14ac:dyDescent="0.35">
      <c r="B18" s="6"/>
      <c r="C18" s="7"/>
      <c r="D18" s="7"/>
      <c r="E18" s="8"/>
    </row>
    <row r="19" spans="2:5" x14ac:dyDescent="0.35">
      <c r="B19" s="6"/>
      <c r="C19" s="7"/>
      <c r="D19" s="7"/>
      <c r="E19" s="8"/>
    </row>
    <row r="20" spans="2:5" ht="15.5" x14ac:dyDescent="0.35">
      <c r="B20" s="10" t="s">
        <v>20</v>
      </c>
      <c r="C20" s="11"/>
      <c r="D20" s="11"/>
      <c r="E20" s="12"/>
    </row>
    <row r="21" spans="2:5" x14ac:dyDescent="0.35">
      <c r="B21" s="6"/>
      <c r="C21" s="7"/>
      <c r="D21" s="7"/>
      <c r="E21" s="8"/>
    </row>
    <row r="22" spans="2:5" x14ac:dyDescent="0.35">
      <c r="B22" s="6" t="s">
        <v>21</v>
      </c>
      <c r="C22" s="14">
        <f>C4*(C14-C17)</f>
        <v>48.560570325888627</v>
      </c>
      <c r="D22" s="7" t="s">
        <v>26</v>
      </c>
      <c r="E22" s="8"/>
    </row>
    <row r="23" spans="2:5" x14ac:dyDescent="0.35">
      <c r="B23" s="6" t="s">
        <v>22</v>
      </c>
      <c r="C23" s="14">
        <f>C22*1000/(SQRT(3)*C7)</f>
        <v>70.091145874133886</v>
      </c>
      <c r="D23" s="7" t="s">
        <v>23</v>
      </c>
      <c r="E23" s="8"/>
    </row>
    <row r="24" spans="2:5" x14ac:dyDescent="0.35">
      <c r="B24" s="6" t="s">
        <v>24</v>
      </c>
      <c r="C24" s="14">
        <f>C23*C8</f>
        <v>105.13671881120084</v>
      </c>
      <c r="D24" s="7" t="s">
        <v>23</v>
      </c>
      <c r="E24" s="8"/>
    </row>
    <row r="25" spans="2:5" x14ac:dyDescent="0.35">
      <c r="B25" s="2" t="s">
        <v>25</v>
      </c>
      <c r="C25" s="15">
        <f>+C22/7</f>
        <v>6.9372243322698042</v>
      </c>
      <c r="D25" s="7" t="s">
        <v>26</v>
      </c>
      <c r="E25" s="8"/>
    </row>
    <row r="26" spans="2:5" ht="15" thickBot="1" x14ac:dyDescent="0.4">
      <c r="B26" s="18" t="s">
        <v>27</v>
      </c>
      <c r="C26" s="19">
        <f>+C22/3</f>
        <v>16.18685677529621</v>
      </c>
      <c r="D26" s="16" t="s">
        <v>26</v>
      </c>
      <c r="E26" s="17"/>
    </row>
  </sheetData>
  <mergeCells count="3">
    <mergeCell ref="B11:E11"/>
    <mergeCell ref="B2:E2"/>
    <mergeCell ref="B20:E20"/>
  </mergeCells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EBA1406E96445A80543D9131015DC" ma:contentTypeVersion="14" ma:contentTypeDescription="Crear nuevo documento." ma:contentTypeScope="" ma:versionID="13de73590fa5056e7ef365f29673104d">
  <xsd:schema xmlns:xsd="http://www.w3.org/2001/XMLSchema" xmlns:xs="http://www.w3.org/2001/XMLSchema" xmlns:p="http://schemas.microsoft.com/office/2006/metadata/properties" xmlns:ns2="18a59cfb-bc57-47a9-aa75-01f7bcacb79c" xmlns:ns3="a0e32d63-5ef6-47f5-a72b-7fb582acfee9" targetNamespace="http://schemas.microsoft.com/office/2006/metadata/properties" ma:root="true" ma:fieldsID="4f9248b6f4c9c4dd33b14bdac6b7bedc" ns2:_="" ns3:_="">
    <xsd:import namespace="18a59cfb-bc57-47a9-aa75-01f7bcacb79c"/>
    <xsd:import namespace="a0e32d63-5ef6-47f5-a72b-7fb582acf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59cfb-bc57-47a9-aa75-01f7bcacb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80d63d2-8451-4b65-bc0b-1d1c7fed98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32d63-5ef6-47f5-a72b-7fb582acf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827f14-d48b-41ef-9c3c-d36f62b67a6b}" ma:internalName="TaxCatchAll" ma:showField="CatchAllData" ma:web="a0e32d63-5ef6-47f5-a72b-7fb582acf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32d63-5ef6-47f5-a72b-7fb582acfee9" xsi:nil="true"/>
    <lcf76f155ced4ddcb4097134ff3c332f xmlns="18a59cfb-bc57-47a9-aa75-01f7bcacb7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C231B5-48E4-426A-93E6-059FE58038D2}"/>
</file>

<file path=customXml/itemProps2.xml><?xml version="1.0" encoding="utf-8"?>
<ds:datastoreItem xmlns:ds="http://schemas.openxmlformats.org/officeDocument/2006/customXml" ds:itemID="{6C9A5506-D23A-42D8-B435-F34E903F9118}"/>
</file>

<file path=customXml/itemProps3.xml><?xml version="1.0" encoding="utf-8"?>
<ds:datastoreItem xmlns:ds="http://schemas.openxmlformats.org/officeDocument/2006/customXml" ds:itemID="{80D0F373-7256-4D52-BB60-C79FC55D7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 Bateria Condensadores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PULIDO GALVEZ</cp:lastModifiedBy>
  <dcterms:created xsi:type="dcterms:W3CDTF">2026-04-15T10:13:56Z</dcterms:created>
  <dcterms:modified xsi:type="dcterms:W3CDTF">2026-06-18T08:08:18Z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0x010100129EBA1406E96445A80543D9131015DC</vt:lpwstr>
  </property>
</Properties>
</file>